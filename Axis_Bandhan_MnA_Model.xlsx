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HAVOOK\Downloads\"/>
    </mc:Choice>
  </mc:AlternateContent>
  <xr:revisionPtr revIDLastSave="0" documentId="8_{0AD505BA-E753-40F1-971F-BD33E217AC87}" xr6:coauthVersionLast="36" xr6:coauthVersionMax="36" xr10:uidLastSave="{00000000-0000-0000-0000-000000000000}"/>
  <bookViews>
    <workbookView xWindow="0" yWindow="0" windowWidth="23040" windowHeight="8940" tabRatio="500" xr2:uid="{00000000-000D-0000-FFFF-FFFF00000000}"/>
  </bookViews>
  <sheets>
    <sheet name="Sheet1" sheetId="5" r:id="rId1"/>
    <sheet name="M&amp;A Model" sheetId="1" r:id="rId2"/>
    <sheet name="Funding the deal" sheetId="2" r:id="rId3"/>
    <sheet name="Findings" sheetId="3" r:id="rId4"/>
    <sheet name="Visuals" sheetId="4" r:id="rId5"/>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C29" i="1" l="1"/>
  <c r="C23" i="1"/>
  <c r="C22" i="1"/>
  <c r="C8" i="1"/>
  <c r="C9" i="1" s="1"/>
  <c r="C14" i="1" l="1"/>
  <c r="C19" i="1" s="1"/>
  <c r="C30" i="1" s="1"/>
  <c r="C12" i="1"/>
  <c r="C24" i="1" s="1"/>
  <c r="C13" i="1"/>
  <c r="C25" i="1" s="1"/>
  <c r="C26" i="1" s="1"/>
  <c r="C31" i="1" s="1"/>
  <c r="C32" i="1" s="1"/>
  <c r="C33" i="1" s="1"/>
  <c r="E29" i="4"/>
  <c r="F6" i="4"/>
  <c r="B6" i="4"/>
  <c r="F5" i="4"/>
  <c r="B5" i="4"/>
  <c r="F4" i="4"/>
  <c r="B4" i="4"/>
  <c r="C29" i="4"/>
  <c r="B3" i="2" l="1"/>
  <c r="B4" i="2" s="1"/>
  <c r="C4" i="4" l="1"/>
  <c r="C6" i="4"/>
  <c r="C5" i="4"/>
  <c r="E32" i="4" l="1"/>
  <c r="C32" i="4"/>
  <c r="D30" i="4"/>
  <c r="D31" i="4"/>
  <c r="E30" i="4" l="1"/>
  <c r="B30" i="4"/>
  <c r="E31" i="4" l="1"/>
  <c r="B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0000-000002000000}">
      <text>
        <r>
          <rPr>
            <sz val="10"/>
            <rFont val="Arial"/>
            <family val="2"/>
          </rPr>
          <t xml:space="preserve">BHAVOOK:
Axis Bank acquired Citibank's Indian consumer business, or when HDFC merged with HDFC Bank, you look at the implied valuation premium paid over the target's standalone market price prior to the announcement. Historically in the Indian banking sector, control premiums range between 15% and 35% depending on the strategic value of the target's loan book and deposit base.
</t>
        </r>
      </text>
    </comment>
    <comment ref="B17" authorId="0" shapeId="0" xr:uid="{00000000-0006-0000-0000-000001000000}">
      <text>
        <r>
          <rPr>
            <sz val="10"/>
            <rFont val="Arial"/>
            <family val="2"/>
          </rPr>
          <t>BHAVOOK:
statutory corporate tax rate of 25.168% (rounded to 25.2%) assume kiya hai under Section 115BAA of the Income Tax 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100-000001000000}">
      <text>
        <r>
          <rPr>
            <sz val="10"/>
            <rFont val="Arial"/>
            <family val="2"/>
          </rPr>
          <t>BHAVOOK:
AAA-rated Indian corporate bonds or bank infrastructure bonds in 2026</t>
        </r>
      </text>
    </comment>
  </commentList>
</comments>
</file>

<file path=xl/sharedStrings.xml><?xml version="1.0" encoding="utf-8"?>
<sst xmlns="http://schemas.openxmlformats.org/spreadsheetml/2006/main" count="89" uniqueCount="85">
  <si>
    <t>Axis Bank (Acquirer)</t>
  </si>
  <si>
    <t>Bandhan Bank (Target)</t>
  </si>
  <si>
    <t>Current Share Price ₹</t>
  </si>
  <si>
    <t>Shares Outstanding (Cr)</t>
  </si>
  <si>
    <t xml:space="preserve">Net Income (FY26, , ₹ Cr) </t>
  </si>
  <si>
    <t>Deal Assumptions</t>
  </si>
  <si>
    <t>TakeOver Premium (%)</t>
  </si>
  <si>
    <t>Offer Price Per Share (₹)</t>
  </si>
  <si>
    <t>Total Purchase Price (₹ Cr)</t>
  </si>
  <si>
    <t xml:space="preserve">Funding Schedul </t>
  </si>
  <si>
    <t>Cash %</t>
  </si>
  <si>
    <t>Debt %</t>
  </si>
  <si>
    <t>Equity %</t>
  </si>
  <si>
    <t>Interest Forgone on Cash</t>
  </si>
  <si>
    <t>Pre Tax Cost of Debt</t>
  </si>
  <si>
    <t>Corporate Tax Rate (%)</t>
  </si>
  <si>
    <t>New Shares Issued (Cr)</t>
  </si>
  <si>
    <t>Combined Income Statement</t>
  </si>
  <si>
    <t>Axis Bank Net Income</t>
  </si>
  <si>
    <t>Bandhan Bank Net Income</t>
  </si>
  <si>
    <t>Less: Interest Foregone on Cash (Post-Tax)</t>
  </si>
  <si>
    <t>Less: Interest Expense on New Debt (Post-Tax)</t>
  </si>
  <si>
    <t>Combined Net Income</t>
  </si>
  <si>
    <t>Accretion / (Dilution) Analysis</t>
  </si>
  <si>
    <t>Axis Bank Standalone EPS</t>
  </si>
  <si>
    <t>Combined Shares Outstanding (Cr)</t>
  </si>
  <si>
    <t>Combined EPS</t>
  </si>
  <si>
    <t>Accretion / (Dilution) (₹)</t>
  </si>
  <si>
    <t>Accretion / (Dilution) (%)</t>
  </si>
  <si>
    <t>Step1: Funding mix</t>
  </si>
  <si>
    <t>Cash Equivalents (Cr)</t>
  </si>
  <si>
    <t>Extra Reserve</t>
  </si>
  <si>
    <t>Step2: Cost of Debt (Pre-Tax)</t>
  </si>
  <si>
    <t>Step3: Interest Foregone on Cash</t>
  </si>
  <si>
    <t>Standing Deposit Facility Rate</t>
  </si>
  <si>
    <t>Reverese Repo Rate</t>
  </si>
  <si>
    <t>Equity</t>
  </si>
  <si>
    <t>Debt</t>
  </si>
  <si>
    <t>Cash</t>
  </si>
  <si>
    <t>Findings</t>
  </si>
  <si>
    <t>Visual 1: Funding Mix (Donut Chart)</t>
  </si>
  <si>
    <t>Funding Source</t>
  </si>
  <si>
    <t>% of Total</t>
  </si>
  <si>
    <t>₹ Cr</t>
  </si>
  <si>
    <t>Equity (Share Swap)</t>
  </si>
  <si>
    <t>Tier-II Debt</t>
  </si>
  <si>
    <t>Visual 2: EPS Impact (Waterfall Chart)</t>
  </si>
  <si>
    <t>Step</t>
  </si>
  <si>
    <t>Base (invisible)</t>
  </si>
  <si>
    <t>Increase</t>
  </si>
  <si>
    <t>Decrease</t>
  </si>
  <si>
    <t>EPS Level (₹)</t>
  </si>
  <si>
    <t>Standalone EPS</t>
  </si>
  <si>
    <t>Less: Interest Foregone (Cash)</t>
  </si>
  <si>
    <t>Less: Interest Expense (Debt)</t>
  </si>
  <si>
    <t>Note: The ₹3.64 total per-share dilution is allocated between the two post-tax interest items in proportion to their ₹ Cr size, so the bars tie out exactly to the model's Standalone and Combined EPS (Sheet 'M&amp;A Model', rows 24-31).</t>
  </si>
  <si>
    <t>Strategic Rationale, Valuation &amp; EPS Impact Analysis</t>
  </si>
  <si>
    <t>A Study of the Proposed Acquisition of Bandhan Bank by Axis Bank</t>
  </si>
  <si>
    <t xml:space="preserve"> </t>
  </si>
  <si>
    <t>Prepared By</t>
  </si>
  <si>
    <t>Bhavook Wadhwa</t>
  </si>
  <si>
    <t>Programme</t>
  </si>
  <si>
    <t>PGDM (Post Graduate Diploma in Management) — Finance</t>
  </si>
  <si>
    <t>Institution</t>
  </si>
  <si>
    <t>Welingkar Institute of Management, Mumbai</t>
  </si>
  <si>
    <t>Project Type</t>
  </si>
  <si>
    <t>Independent Academic Project (Mergers &amp; Acquisitions)</t>
  </si>
  <si>
    <t>Date</t>
  </si>
  <si>
    <t>September 2026</t>
  </si>
  <si>
    <t>ABOUT THIS PROJECT</t>
  </si>
  <si>
    <t>This workbook models a hypothetical acquisition of Bandhan Bank by Axis Bank, built as part of my PGDM coursework in Finance at Welingkar Institute of Management, Mumbai. It covers deal valuation, the funding structure of the transaction, and the resulting accretion / dilution impact on Axis Bank's earnings per share (EPS), along with supporting visuals and a one-page deal memo summarising the analysis.</t>
  </si>
  <si>
    <t>WORKBOOK GUIDE</t>
  </si>
  <si>
    <t>Sheet</t>
  </si>
  <si>
    <t>Contents</t>
  </si>
  <si>
    <t>Introduction</t>
  </si>
  <si>
    <t>This cover sheet — project details, workbook guide, and disclaimer.</t>
  </si>
  <si>
    <t>M&amp;A Model</t>
  </si>
  <si>
    <t>Core deal model — valuation, purchase price, share exchange ratio, and combined-entity financials.</t>
  </si>
  <si>
    <t>Funding the deal</t>
  </si>
  <si>
    <t>Sources of funds for the transaction — equity (share swap), Tier-II debt, and cash.</t>
  </si>
  <si>
    <t>Visuals</t>
  </si>
  <si>
    <t>Funding-mix donut chart and EPS-impact waterfall chart, with supporting data tables.</t>
  </si>
  <si>
    <t>DISCLAIMER</t>
  </si>
  <si>
    <t>This document is an independent academic exercise prepared solely for learning purposes as part of a PGDM (Finance) project at Welingkar Institute of Management, Mumbai. It is not affiliated with, endorsed by, or reviewed by Axis Bank, Bandhan Bank, or any of their officers, employees, or advisors. All figures, assumptions, and conclusions are the author's own estimates, built on publicly available information and simplified for illustrative purposes; they do not represent an actual or proposed transaction between the two banks. Nothing in this workbook constitutes investment advice, a recommendation, or an offer to buy or sell any security, and it should not be relied upon for any financial, legal, or investment decision. Please verify all data independently before any other use.</t>
  </si>
  <si>
    <t>Conclusions drawn from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</si>
</sst>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charset val="1"/>
    </font>
    <font>
      <sz val="11"/>
      <color theme="1"/>
      <name val="Calibri"/>
      <family val="2"/>
      <scheme val="minor"/>
    </font>
    <font>
      <sz val="10"/>
      <name val="Arial"/>
      <family val="2"/>
    </font>
    <font>
      <b/>
      <u/>
      <sz val="11"/>
      <color theme="1"/>
      <name val="Calibri"/>
      <family val="2"/>
      <charset val="1"/>
    </font>
    <font>
      <sz val="11"/>
      <color rgb="FF00B0F0"/>
      <name val="Calibri"/>
      <family val="2"/>
      <charset val="1"/>
    </font>
    <font>
      <b/>
      <u/>
      <sz val="20"/>
      <color theme="1"/>
      <name val="Calibri"/>
      <family val="2"/>
      <charset val="1"/>
    </font>
    <font>
      <b/>
      <sz val="14"/>
      <color rgb="FF1F3864"/>
      <name val="Arial"/>
      <family val="2"/>
    </font>
    <font>
      <b/>
      <sz val="11"/>
      <color rgb="FFFFFFFF"/>
      <name val="Arial"/>
      <family val="2"/>
    </font>
    <font>
      <sz val="11"/>
      <color rgb="FF9C5700"/>
      <name val="Calibri"/>
      <family val="2"/>
      <scheme val="minor"/>
    </font>
    <font>
      <b/>
      <sz val="11"/>
      <color theme="0"/>
      <name val="Calibri"/>
      <family val="2"/>
      <scheme val="minor"/>
    </font>
    <font>
      <sz val="10.5"/>
      <name val="Calibri"/>
      <family val="2"/>
      <scheme val="minor"/>
    </font>
    <font>
      <b/>
      <sz val="14"/>
      <color rgb="FF1F3864"/>
      <name val="Calibri"/>
      <family val="2"/>
      <scheme val="minor"/>
    </font>
    <font>
      <b/>
      <sz val="11"/>
      <color rgb="FFFFFFFF"/>
      <name val="Calibri"/>
      <family val="2"/>
      <scheme val="minor"/>
    </font>
    <font>
      <b/>
      <sz val="10.5"/>
      <name val="Calibri"/>
      <family val="2"/>
      <scheme val="minor"/>
    </font>
    <font>
      <b/>
      <sz val="12"/>
      <color rgb="FFFFFFFF"/>
      <name val="Calibri"/>
      <family val="2"/>
      <scheme val="minor"/>
    </font>
    <font>
      <b/>
      <sz val="10"/>
      <color rgb="FFFFFFFF"/>
      <name val="Calibri"/>
      <family val="2"/>
      <scheme val="minor"/>
    </font>
    <font>
      <b/>
      <sz val="10"/>
      <color rgb="FF1F3864"/>
      <name val="Calibri"/>
      <family val="2"/>
      <scheme val="minor"/>
    </font>
    <font>
      <sz val="10"/>
      <color rgb="FF000000"/>
      <name val="Calibri"/>
      <family val="2"/>
      <scheme val="minor"/>
    </font>
    <font>
      <b/>
      <sz val="13"/>
      <color rgb="FFFFFFFF"/>
      <name val="Calibri"/>
      <family val="2"/>
      <scheme val="minor"/>
    </font>
    <font>
      <b/>
      <sz val="17"/>
      <color rgb="FF1F3864"/>
      <name val="Calibri"/>
      <family val="2"/>
      <scheme val="minor"/>
    </font>
    <font>
      <b/>
      <sz val="10.5"/>
      <color rgb="FF1F3864"/>
      <name val="Calibri"/>
      <family val="2"/>
      <scheme val="minor"/>
    </font>
    <font>
      <sz val="10.5"/>
      <color rgb="FF000000"/>
      <name val="Calibri"/>
      <family val="2"/>
      <scheme val="minor"/>
    </font>
  </fonts>
  <fills count="8">
    <fill>
      <patternFill patternType="none"/>
    </fill>
    <fill>
      <patternFill patternType="gray125"/>
    </fill>
    <fill>
      <patternFill patternType="solid">
        <fgColor rgb="FF1F3864"/>
        <bgColor rgb="FF333333"/>
      </patternFill>
    </fill>
    <fill>
      <patternFill patternType="solid">
        <fgColor rgb="FFFFEB9C"/>
      </patternFill>
    </fill>
    <fill>
      <patternFill patternType="solid">
        <fgColor rgb="FFA5A5A5"/>
      </patternFill>
    </fill>
    <fill>
      <patternFill patternType="solid">
        <fgColor rgb="FFC55A11"/>
        <bgColor rgb="FFED7D31"/>
      </patternFill>
    </fill>
    <fill>
      <patternFill patternType="solid">
        <fgColor rgb="FFF2F2F2"/>
        <bgColor rgb="FFFDF2F2"/>
      </patternFill>
    </fill>
    <fill>
      <patternFill patternType="solid">
        <fgColor rgb="FF7F0000"/>
        <bgColor rgb="FF800000"/>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8" fillId="3" borderId="0" applyNumberFormat="0" applyBorder="0" applyAlignment="0" applyProtection="0"/>
    <xf numFmtId="0" fontId="9" fillId="4" borderId="3" applyNumberFormat="0" applyAlignment="0" applyProtection="0"/>
  </cellStyleXfs>
  <cellXfs count="37">
    <xf numFmtId="0" fontId="0" fillId="0" borderId="0" xfId="0"/>
    <xf numFmtId="0" fontId="3" fillId="0" borderId="0" xfId="0" applyFont="1"/>
    <xf numFmtId="2" fontId="4" fillId="0" borderId="0" xfId="0" applyNumberFormat="1" applyFont="1"/>
    <xf numFmtId="0" fontId="4" fillId="0" borderId="0" xfId="0" applyFont="1"/>
    <xf numFmtId="3" fontId="4" fillId="0" borderId="0" xfId="0" applyNumberFormat="1" applyFont="1"/>
    <xf numFmtId="9" fontId="4" fillId="0" borderId="0" xfId="0" applyNumberFormat="1" applyFont="1"/>
    <xf numFmtId="2" fontId="0" fillId="0" borderId="0" xfId="0" applyNumberFormat="1"/>
    <xf numFmtId="10" fontId="4" fillId="0" borderId="0" xfId="0" applyNumberFormat="1" applyFont="1"/>
    <xf numFmtId="3" fontId="0" fillId="0" borderId="0" xfId="0" applyNumberFormat="1"/>
    <xf numFmtId="10" fontId="0" fillId="0" borderId="0" xfId="0" applyNumberFormat="1"/>
    <xf numFmtId="164" fontId="0" fillId="0" borderId="0" xfId="0" applyNumberFormat="1"/>
    <xf numFmtId="0" fontId="5" fillId="0" borderId="0" xfId="0" applyFont="1"/>
    <xf numFmtId="0" fontId="7" fillId="2" borderId="1" xfId="0" applyFont="1" applyFill="1" applyBorder="1" applyAlignment="1">
      <alignment horizontal="center"/>
    </xf>
    <xf numFmtId="9" fontId="0" fillId="0" borderId="0" xfId="0" applyNumberFormat="1"/>
    <xf numFmtId="0" fontId="6" fillId="0" borderId="0" xfId="0" applyFont="1" applyBorder="1"/>
    <xf numFmtId="0" fontId="10" fillId="0" borderId="1" xfId="0" applyFont="1" applyBorder="1"/>
    <xf numFmtId="9" fontId="10" fillId="0" borderId="1" xfId="0" applyNumberFormat="1" applyFont="1" applyBorder="1"/>
    <xf numFmtId="165" fontId="10" fillId="0" borderId="1" xfId="0" applyNumberFormat="1" applyFont="1" applyBorder="1"/>
    <xf numFmtId="0" fontId="11" fillId="0" borderId="0" xfId="0" applyFont="1" applyBorder="1"/>
    <xf numFmtId="0" fontId="12" fillId="2" borderId="1" xfId="0" applyFont="1" applyFill="1" applyBorder="1" applyAlignment="1">
      <alignment horizontal="center" wrapText="1"/>
    </xf>
    <xf numFmtId="0" fontId="13" fillId="0" borderId="1" xfId="0" applyFont="1" applyBorder="1"/>
    <xf numFmtId="4" fontId="1" fillId="0" borderId="1" xfId="0" applyNumberFormat="1" applyFont="1" applyBorder="1"/>
    <xf numFmtId="0" fontId="9" fillId="4" borderId="3" xfId="2" applyAlignment="1">
      <alignment vertical="top" wrapText="1"/>
    </xf>
    <xf numFmtId="0" fontId="14" fillId="2" borderId="0" xfId="0" applyFont="1" applyFill="1" applyBorder="1" applyAlignment="1">
      <alignment horizontal="left" vertical="center" indent="1"/>
    </xf>
    <xf numFmtId="0" fontId="15" fillId="5" borderId="0" xfId="0" applyFont="1" applyFill="1" applyAlignment="1">
      <alignment horizontal="left" vertical="center" indent="1"/>
    </xf>
    <xf numFmtId="0" fontId="16" fillId="6" borderId="5" xfId="0" applyFont="1" applyFill="1" applyBorder="1" applyAlignment="1">
      <alignment vertical="top" wrapText="1"/>
    </xf>
    <xf numFmtId="0" fontId="17" fillId="6" borderId="5" xfId="0" applyFont="1" applyFill="1" applyBorder="1" applyAlignment="1">
      <alignment vertical="top" wrapText="1"/>
    </xf>
    <xf numFmtId="0" fontId="1" fillId="0" borderId="0" xfId="0" applyFont="1"/>
    <xf numFmtId="0" fontId="14" fillId="7" borderId="0" xfId="0" applyFont="1" applyFill="1" applyBorder="1" applyAlignment="1">
      <alignment horizontal="left" vertical="center" indent="1"/>
    </xf>
    <xf numFmtId="0" fontId="1" fillId="2" borderId="0" xfId="0" applyFont="1" applyFill="1"/>
    <xf numFmtId="0" fontId="18" fillId="2" borderId="0" xfId="0" applyFont="1" applyFill="1" applyBorder="1" applyAlignment="1">
      <alignment horizontal="center" vertical="center"/>
    </xf>
    <xf numFmtId="0" fontId="19" fillId="0" borderId="0" xfId="0" applyFont="1" applyBorder="1" applyAlignment="1">
      <alignment horizontal="center" vertical="center" wrapText="1"/>
    </xf>
    <xf numFmtId="0" fontId="1" fillId="5" borderId="0" xfId="0" applyFont="1" applyFill="1" applyBorder="1"/>
    <xf numFmtId="0" fontId="20" fillId="0" borderId="4" xfId="0" applyFont="1" applyBorder="1" applyAlignment="1">
      <alignment vertical="center"/>
    </xf>
    <xf numFmtId="0" fontId="21" fillId="0" borderId="4" xfId="0" applyFont="1" applyBorder="1" applyAlignment="1">
      <alignment vertical="center" wrapText="1"/>
    </xf>
    <xf numFmtId="0" fontId="8" fillId="3" borderId="2" xfId="1" applyBorder="1" applyAlignment="1">
      <alignment horizontal="left" vertical="top" wrapText="1"/>
    </xf>
    <xf numFmtId="0" fontId="8" fillId="3" borderId="0" xfId="1" applyBorder="1" applyAlignment="1">
      <alignment horizontal="left" vertical="top" wrapText="1"/>
    </xf>
  </cellXfs>
  <cellStyles count="3">
    <cellStyle name="Check Cell" xfId="2" builtinId="23"/>
    <cellStyle name="Neutral" xfId="1" builtinId="2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8FAADC"/>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C55A11"/>
      <rgbColor rgb="FF666699"/>
      <rgbColor rgb="FF8B8B8B"/>
      <rgbColor rgb="FF1F3864"/>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Funding Mix — ₹37,170.9 Cr Purchase Price</a:t>
            </a:r>
          </a:p>
        </c:rich>
      </c:tx>
      <c:overlay val="0"/>
      <c:spPr>
        <a:noFill/>
        <a:ln w="0">
          <a:noFill/>
        </a:ln>
      </c:spPr>
    </c:title>
    <c:autoTitleDeleted val="0"/>
    <c:plotArea>
      <c:layout/>
      <c:doughnutChart>
        <c:varyColors val="1"/>
        <c:ser>
          <c:idx val="0"/>
          <c:order val="0"/>
          <c:tx>
            <c:strRef>
              <c:f>Visuals!$B$3</c:f>
              <c:strCache>
                <c:ptCount val="1"/>
                <c:pt idx="0">
                  <c:v>% of Total</c:v>
                </c:pt>
              </c:strCache>
            </c:strRef>
          </c:tx>
          <c:spPr>
            <a:solidFill>
              <a:srgbClr val="4472C4"/>
            </a:solidFill>
            <a:ln w="0">
              <a:noFill/>
            </a:ln>
          </c:spPr>
          <c:dPt>
            <c:idx val="0"/>
            <c:bubble3D val="0"/>
            <c:spPr>
              <a:solidFill>
                <a:srgbClr val="1F3864"/>
              </a:solidFill>
              <a:ln w="0">
                <a:noFill/>
              </a:ln>
            </c:spPr>
            <c:extLst>
              <c:ext xmlns:c16="http://schemas.microsoft.com/office/drawing/2014/chart" uri="{C3380CC4-5D6E-409C-BE32-E72D297353CC}">
                <c16:uniqueId val="{00000001-84BC-4A67-910B-B0D9B9AC0CDB}"/>
              </c:ext>
            </c:extLst>
          </c:dPt>
          <c:dPt>
            <c:idx val="1"/>
            <c:bubble3D val="0"/>
            <c:spPr>
              <a:solidFill>
                <a:srgbClr val="C55A11"/>
              </a:solidFill>
              <a:ln w="0">
                <a:noFill/>
              </a:ln>
            </c:spPr>
            <c:extLst>
              <c:ext xmlns:c16="http://schemas.microsoft.com/office/drawing/2014/chart" uri="{C3380CC4-5D6E-409C-BE32-E72D297353CC}">
                <c16:uniqueId val="{00000003-84BC-4A67-910B-B0D9B9AC0CDB}"/>
              </c:ext>
            </c:extLst>
          </c:dPt>
          <c:dPt>
            <c:idx val="2"/>
            <c:bubble3D val="0"/>
            <c:spPr>
              <a:solidFill>
                <a:srgbClr val="8FAADC"/>
              </a:solidFill>
              <a:ln w="0">
                <a:noFill/>
              </a:ln>
            </c:spPr>
            <c:extLst>
              <c:ext xmlns:c16="http://schemas.microsoft.com/office/drawing/2014/chart" uri="{C3380CC4-5D6E-409C-BE32-E72D297353CC}">
                <c16:uniqueId val="{00000005-84BC-4A67-910B-B0D9B9AC0CDB}"/>
              </c:ext>
            </c:extLst>
          </c:dPt>
          <c:dLbls>
            <c:dLbl>
              <c:idx val="0"/>
              <c:spPr>
                <a:noFill/>
              </c:spPr>
              <c:txPr>
                <a:bodyPr wrap="square"/>
                <a:lstStyle/>
                <a:p>
                  <a:pPr>
                    <a:defRPr sz="1000" b="1" strike="noStrike" spc="-1">
                      <a:solidFill>
                        <a:schemeClr val="bg1"/>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84BC-4A67-910B-B0D9B9AC0CDB}"/>
                </c:ext>
              </c:extLst>
            </c:dLbl>
            <c:dLbl>
              <c:idx val="1"/>
              <c:spPr>
                <a:noFill/>
              </c:spPr>
              <c:txPr>
                <a:bodyPr wrap="square"/>
                <a:lstStyle/>
                <a:p>
                  <a:pPr>
                    <a:defRPr sz="1000" b="1" strike="noStrike" spc="-1">
                      <a:solidFill>
                        <a:schemeClr val="bg1"/>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84BC-4A67-910B-B0D9B9AC0CDB}"/>
                </c:ext>
              </c:extLst>
            </c:dLbl>
            <c:dLbl>
              <c:idx val="2"/>
              <c:spPr>
                <a:noFill/>
              </c:spPr>
              <c:txPr>
                <a:bodyPr wrap="square"/>
                <a:lstStyle/>
                <a:p>
                  <a:pPr>
                    <a:defRPr sz="1000" b="1" strike="noStrike" spc="-1">
                      <a:solidFill>
                        <a:schemeClr val="bg1"/>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84BC-4A67-910B-B0D9B9AC0CDB}"/>
                </c:ext>
              </c:extLst>
            </c:dLbl>
            <c:spPr>
              <a:noFill/>
              <a:ln>
                <a:noFill/>
              </a:ln>
              <a:effectLst/>
            </c:spPr>
            <c:txPr>
              <a:bodyPr wrap="square"/>
              <a:lstStyle/>
              <a:p>
                <a:pPr>
                  <a:defRPr sz="1000" b="1" strike="noStrike" spc="-1">
                    <a:solidFill>
                      <a:schemeClr val="bg1"/>
                    </a:solidFill>
                    <a:latin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Visuals!$A$4:$A$6</c:f>
              <c:strCache>
                <c:ptCount val="3"/>
                <c:pt idx="0">
                  <c:v>Equity (Share Swap)</c:v>
                </c:pt>
                <c:pt idx="1">
                  <c:v>Tier-II Debt</c:v>
                </c:pt>
                <c:pt idx="2">
                  <c:v>Cash</c:v>
                </c:pt>
              </c:strCache>
            </c:strRef>
          </c:cat>
          <c:val>
            <c:numRef>
              <c:f>Visuals!$B$4:$B$6</c:f>
              <c:numCache>
                <c:formatCode>0%</c:formatCode>
                <c:ptCount val="3"/>
                <c:pt idx="0">
                  <c:v>0.9</c:v>
                </c:pt>
                <c:pt idx="1">
                  <c:v>0.05</c:v>
                </c:pt>
                <c:pt idx="2">
                  <c:v>0.05</c:v>
                </c:pt>
              </c:numCache>
            </c:numRef>
          </c:val>
          <c:extLst>
            <c:ext xmlns:c16="http://schemas.microsoft.com/office/drawing/2014/chart" uri="{C3380CC4-5D6E-409C-BE32-E72D297353CC}">
              <c16:uniqueId val="{00000006-84BC-4A67-910B-B0D9B9AC0CDB}"/>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Year-1 EPS Bridge: Standalone → Combined</a:t>
            </a:r>
          </a:p>
        </c:rich>
      </c:tx>
      <c:overlay val="0"/>
      <c:spPr>
        <a:noFill/>
        <a:ln w="0">
          <a:noFill/>
        </a:ln>
      </c:spPr>
    </c:title>
    <c:autoTitleDeleted val="0"/>
    <c:plotArea>
      <c:layout/>
      <c:barChart>
        <c:barDir val="col"/>
        <c:grouping val="stacked"/>
        <c:varyColors val="0"/>
        <c:ser>
          <c:idx val="0"/>
          <c:order val="0"/>
          <c:tx>
            <c:strRef>
              <c:f>Visuals!$B$28</c:f>
              <c:strCache>
                <c:ptCount val="1"/>
                <c:pt idx="0">
                  <c:v>Base (invisible)</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Visuals!$A$29:$A$32</c:f>
              <c:strCache>
                <c:ptCount val="4"/>
                <c:pt idx="0">
                  <c:v>Standalone EPS</c:v>
                </c:pt>
                <c:pt idx="1">
                  <c:v>Less: Interest Foregone (Cash)</c:v>
                </c:pt>
                <c:pt idx="2">
                  <c:v>Less: Interest Expense (Debt)</c:v>
                </c:pt>
                <c:pt idx="3">
                  <c:v>Combined EPS</c:v>
                </c:pt>
              </c:strCache>
            </c:strRef>
          </c:cat>
          <c:val>
            <c:numRef>
              <c:f>Visuals!$B$29:$B$32</c:f>
              <c:numCache>
                <c:formatCode>#,##0.00</c:formatCode>
                <c:ptCount val="4"/>
                <c:pt idx="0">
                  <c:v>0</c:v>
                </c:pt>
                <c:pt idx="1">
                  <c:v>87.881585957415737</c:v>
                </c:pt>
                <c:pt idx="2">
                  <c:v>85.665348796964992</c:v>
                </c:pt>
                <c:pt idx="3">
                  <c:v>0</c:v>
                </c:pt>
              </c:numCache>
            </c:numRef>
          </c:val>
          <c:extLst>
            <c:ext xmlns:c16="http://schemas.microsoft.com/office/drawing/2014/chart" uri="{C3380CC4-5D6E-409C-BE32-E72D297353CC}">
              <c16:uniqueId val="{00000000-E71C-46E6-8FA1-0AB1A6AAF317}"/>
            </c:ext>
          </c:extLst>
        </c:ser>
        <c:ser>
          <c:idx val="1"/>
          <c:order val="1"/>
          <c:tx>
            <c:strRef>
              <c:f>Visuals!$C$28</c:f>
              <c:strCache>
                <c:ptCount val="1"/>
                <c:pt idx="0">
                  <c:v>Increase</c:v>
                </c:pt>
              </c:strCache>
            </c:strRef>
          </c:tx>
          <c:spPr>
            <a:solidFill>
              <a:srgbClr val="1F3864"/>
            </a:solidFill>
            <a:ln w="0">
              <a:noFill/>
            </a:ln>
          </c:spPr>
          <c:invertIfNegative val="0"/>
          <c:dPt>
            <c:idx val="0"/>
            <c:invertIfNegative val="0"/>
            <c:bubble3D val="0"/>
            <c:spPr>
              <a:solidFill>
                <a:srgbClr val="1F3864"/>
              </a:solidFill>
              <a:ln w="0">
                <a:noFill/>
              </a:ln>
            </c:spPr>
            <c:extLst>
              <c:ext xmlns:c16="http://schemas.microsoft.com/office/drawing/2014/chart" uri="{C3380CC4-5D6E-409C-BE32-E72D297353CC}">
                <c16:uniqueId val="{00000002-E71C-46E6-8FA1-0AB1A6AAF317}"/>
              </c:ext>
            </c:extLst>
          </c:dPt>
          <c:dPt>
            <c:idx val="1"/>
            <c:invertIfNegative val="0"/>
            <c:bubble3D val="0"/>
            <c:spPr>
              <a:solidFill>
                <a:srgbClr val="1F3864"/>
              </a:solidFill>
              <a:ln w="0">
                <a:noFill/>
              </a:ln>
            </c:spPr>
            <c:extLst>
              <c:ext xmlns:c16="http://schemas.microsoft.com/office/drawing/2014/chart" uri="{C3380CC4-5D6E-409C-BE32-E72D297353CC}">
                <c16:uniqueId val="{00000004-E71C-46E6-8FA1-0AB1A6AAF317}"/>
              </c:ext>
            </c:extLst>
          </c:dPt>
          <c:dPt>
            <c:idx val="2"/>
            <c:invertIfNegative val="0"/>
            <c:bubble3D val="0"/>
            <c:spPr>
              <a:solidFill>
                <a:srgbClr val="1F3864"/>
              </a:solidFill>
              <a:ln w="0">
                <a:noFill/>
              </a:ln>
            </c:spPr>
            <c:extLst>
              <c:ext xmlns:c16="http://schemas.microsoft.com/office/drawing/2014/chart" uri="{C3380CC4-5D6E-409C-BE32-E72D297353CC}">
                <c16:uniqueId val="{00000006-E71C-46E6-8FA1-0AB1A6AAF317}"/>
              </c:ext>
            </c:extLst>
          </c:dPt>
          <c:dPt>
            <c:idx val="3"/>
            <c:invertIfNegative val="0"/>
            <c:bubble3D val="0"/>
            <c:spPr>
              <a:solidFill>
                <a:srgbClr val="2E7D32"/>
              </a:solidFill>
              <a:ln w="0">
                <a:noFill/>
              </a:ln>
            </c:spPr>
            <c:extLst>
              <c:ext xmlns:c16="http://schemas.microsoft.com/office/drawing/2014/chart" uri="{C3380CC4-5D6E-409C-BE32-E72D297353CC}">
                <c16:uniqueId val="{00000008-E71C-46E6-8FA1-0AB1A6AAF317}"/>
              </c:ext>
            </c:extLst>
          </c:dPt>
          <c:dLbls>
            <c:dLbl>
              <c:idx val="0"/>
              <c:spPr/>
              <c:txPr>
                <a:bodyPr wrap="square"/>
                <a:lstStyle/>
                <a:p>
                  <a:pPr>
                    <a:defRPr sz="1000" b="0" strike="noStrike" spc="-1">
                      <a:solidFill>
                        <a:schemeClr val="bg1"/>
                      </a:solidFill>
                      <a:latin typeface="Calibri"/>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E71C-46E6-8FA1-0AB1A6AAF317}"/>
                </c:ext>
              </c:extLst>
            </c:dLbl>
            <c:dLbl>
              <c:idx val="1"/>
              <c:delete val="1"/>
              <c:extLst>
                <c:ext xmlns:c15="http://schemas.microsoft.com/office/drawing/2012/chart" uri="{CE6537A1-D6FC-4f65-9D91-7224C49458BB}"/>
                <c:ext xmlns:c16="http://schemas.microsoft.com/office/drawing/2014/chart" uri="{C3380CC4-5D6E-409C-BE32-E72D297353CC}">
                  <c16:uniqueId val="{00000004-E71C-46E6-8FA1-0AB1A6AAF317}"/>
                </c:ext>
              </c:extLst>
            </c:dLbl>
            <c:dLbl>
              <c:idx val="2"/>
              <c:delete val="1"/>
              <c:extLst>
                <c:ext xmlns:c15="http://schemas.microsoft.com/office/drawing/2012/chart" uri="{CE6537A1-D6FC-4f65-9D91-7224C49458BB}"/>
                <c:ext xmlns:c16="http://schemas.microsoft.com/office/drawing/2014/chart" uri="{C3380CC4-5D6E-409C-BE32-E72D297353CC}">
                  <c16:uniqueId val="{00000006-E71C-46E6-8FA1-0AB1A6AAF317}"/>
                </c:ext>
              </c:extLst>
            </c:dLbl>
            <c:dLbl>
              <c:idx val="3"/>
              <c:spPr/>
              <c:txPr>
                <a:bodyPr wrap="square"/>
                <a:lstStyle/>
                <a:p>
                  <a:pPr>
                    <a:defRPr sz="1000" b="0" strike="noStrike" spc="-1">
                      <a:solidFill>
                        <a:schemeClr val="bg1"/>
                      </a:solidFill>
                      <a:latin typeface="Calibri"/>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E71C-46E6-8FA1-0AB1A6AAF317}"/>
                </c:ext>
              </c:extLst>
            </c:dLbl>
            <c:spPr>
              <a:noFill/>
              <a:ln>
                <a:noFill/>
              </a:ln>
              <a:effectLst/>
            </c:spPr>
            <c:txPr>
              <a:bodyPr wrap="square"/>
              <a:lstStyle/>
              <a:p>
                <a:pPr>
                  <a:defRPr sz="1000" b="0" strike="noStrike" spc="-1">
                    <a:solidFill>
                      <a:schemeClr val="bg1"/>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Visuals!$A$29:$A$32</c:f>
              <c:strCache>
                <c:ptCount val="4"/>
                <c:pt idx="0">
                  <c:v>Standalone EPS</c:v>
                </c:pt>
                <c:pt idx="1">
                  <c:v>Less: Interest Foregone (Cash)</c:v>
                </c:pt>
                <c:pt idx="2">
                  <c:v>Less: Interest Expense (Debt)</c:v>
                </c:pt>
                <c:pt idx="3">
                  <c:v>Combined EPS</c:v>
                </c:pt>
              </c:strCache>
            </c:strRef>
          </c:cat>
          <c:val>
            <c:numRef>
              <c:f>Visuals!$C$29:$C$32</c:f>
              <c:numCache>
                <c:formatCode>#,##0.00</c:formatCode>
                <c:ptCount val="4"/>
                <c:pt idx="0">
                  <c:v>89.302250803858527</c:v>
                </c:pt>
                <c:pt idx="1">
                  <c:v>0</c:v>
                </c:pt>
                <c:pt idx="2">
                  <c:v>0</c:v>
                </c:pt>
                <c:pt idx="3">
                  <c:v>85.665348796964992</c:v>
                </c:pt>
              </c:numCache>
            </c:numRef>
          </c:val>
          <c:extLst>
            <c:ext xmlns:c16="http://schemas.microsoft.com/office/drawing/2014/chart" uri="{C3380CC4-5D6E-409C-BE32-E72D297353CC}">
              <c16:uniqueId val="{00000009-E71C-46E6-8FA1-0AB1A6AAF317}"/>
            </c:ext>
          </c:extLst>
        </c:ser>
        <c:ser>
          <c:idx val="2"/>
          <c:order val="2"/>
          <c:tx>
            <c:strRef>
              <c:f>Visuals!$D$28</c:f>
              <c:strCache>
                <c:ptCount val="1"/>
                <c:pt idx="0">
                  <c:v>Decrease</c:v>
                </c:pt>
              </c:strCache>
            </c:strRef>
          </c:tx>
          <c:spPr>
            <a:solidFill>
              <a:srgbClr val="C55A11"/>
            </a:solidFill>
            <a:ln w="0">
              <a:noFill/>
            </a:ln>
          </c:spPr>
          <c:invertIfNegative val="0"/>
          <c:dPt>
            <c:idx val="0"/>
            <c:invertIfNegative val="0"/>
            <c:bubble3D val="0"/>
            <c:spPr>
              <a:solidFill>
                <a:srgbClr val="C55A11"/>
              </a:solidFill>
              <a:ln w="0">
                <a:noFill/>
              </a:ln>
            </c:spPr>
            <c:extLst>
              <c:ext xmlns:c16="http://schemas.microsoft.com/office/drawing/2014/chart" uri="{C3380CC4-5D6E-409C-BE32-E72D297353CC}">
                <c16:uniqueId val="{0000000B-E71C-46E6-8FA1-0AB1A6AAF317}"/>
              </c:ext>
            </c:extLst>
          </c:dPt>
          <c:dPt>
            <c:idx val="3"/>
            <c:invertIfNegative val="0"/>
            <c:bubble3D val="0"/>
            <c:spPr>
              <a:solidFill>
                <a:srgbClr val="C55A11"/>
              </a:solidFill>
              <a:ln w="0">
                <a:noFill/>
              </a:ln>
            </c:spPr>
            <c:extLst>
              <c:ext xmlns:c16="http://schemas.microsoft.com/office/drawing/2014/chart" uri="{C3380CC4-5D6E-409C-BE32-E72D297353CC}">
                <c16:uniqueId val="{0000000D-E71C-46E6-8FA1-0AB1A6AAF317}"/>
              </c:ext>
            </c:extLst>
          </c:dPt>
          <c:dLbls>
            <c:dLbl>
              <c:idx val="0"/>
              <c:delete val="1"/>
              <c:extLst>
                <c:ext xmlns:c15="http://schemas.microsoft.com/office/drawing/2012/chart" uri="{CE6537A1-D6FC-4f65-9D91-7224C49458BB}"/>
                <c:ext xmlns:c16="http://schemas.microsoft.com/office/drawing/2014/chart" uri="{C3380CC4-5D6E-409C-BE32-E72D297353CC}">
                  <c16:uniqueId val="{0000000B-E71C-46E6-8FA1-0AB1A6AAF317}"/>
                </c:ext>
              </c:extLst>
            </c:dLbl>
            <c:dLbl>
              <c:idx val="3"/>
              <c:delete val="1"/>
              <c:extLst>
                <c:ext xmlns:c15="http://schemas.microsoft.com/office/drawing/2012/chart" uri="{CE6537A1-D6FC-4f65-9D91-7224C49458BB}"/>
                <c:ext xmlns:c16="http://schemas.microsoft.com/office/drawing/2014/chart" uri="{C3380CC4-5D6E-409C-BE32-E72D297353CC}">
                  <c16:uniqueId val="{0000000D-E71C-46E6-8FA1-0AB1A6AAF317}"/>
                </c:ext>
              </c:extLst>
            </c:dLbl>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Visuals!$A$29:$A$32</c:f>
              <c:strCache>
                <c:ptCount val="4"/>
                <c:pt idx="0">
                  <c:v>Standalone EPS</c:v>
                </c:pt>
                <c:pt idx="1">
                  <c:v>Less: Interest Foregone (Cash)</c:v>
                </c:pt>
                <c:pt idx="2">
                  <c:v>Less: Interest Expense (Debt)</c:v>
                </c:pt>
                <c:pt idx="3">
                  <c:v>Combined EPS</c:v>
                </c:pt>
              </c:strCache>
            </c:strRef>
          </c:cat>
          <c:val>
            <c:numRef>
              <c:f>Visuals!$D$29:$D$32</c:f>
              <c:numCache>
                <c:formatCode>#,##0.00</c:formatCode>
                <c:ptCount val="4"/>
                <c:pt idx="0">
                  <c:v>0</c:v>
                </c:pt>
                <c:pt idx="1">
                  <c:v>1.4206648464427871</c:v>
                </c:pt>
                <c:pt idx="2">
                  <c:v>2.2162371604507483</c:v>
                </c:pt>
                <c:pt idx="3">
                  <c:v>0</c:v>
                </c:pt>
              </c:numCache>
            </c:numRef>
          </c:val>
          <c:extLst>
            <c:ext xmlns:c16="http://schemas.microsoft.com/office/drawing/2014/chart" uri="{C3380CC4-5D6E-409C-BE32-E72D297353CC}">
              <c16:uniqueId val="{0000000E-E71C-46E6-8FA1-0AB1A6AAF317}"/>
            </c:ext>
          </c:extLst>
        </c:ser>
        <c:dLbls>
          <c:showLegendKey val="0"/>
          <c:showVal val="0"/>
          <c:showCatName val="0"/>
          <c:showSerName val="0"/>
          <c:showPercent val="0"/>
          <c:showBubbleSize val="0"/>
        </c:dLbls>
        <c:gapWidth val="40"/>
        <c:overlap val="100"/>
        <c:axId val="49782710"/>
        <c:axId val="74228377"/>
      </c:barChart>
      <c:catAx>
        <c:axId val="49782710"/>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4228377"/>
        <c:crosses val="autoZero"/>
        <c:auto val="1"/>
        <c:lblAlgn val="ctr"/>
        <c:lblOffset val="100"/>
        <c:noMultiLvlLbl val="0"/>
      </c:catAx>
      <c:valAx>
        <c:axId val="74228377"/>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EPS (₹ per share)</a:t>
                </a:r>
              </a:p>
            </c:rich>
          </c:tx>
          <c:overlay val="0"/>
          <c:spPr>
            <a:noFill/>
            <a:ln w="0">
              <a:noFill/>
            </a:ln>
          </c:spPr>
        </c:title>
        <c:numFmt formatCode="#,##0.0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978271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7</xdr:col>
      <xdr:colOff>411480</xdr:colOff>
      <xdr:row>7</xdr:row>
      <xdr:rowOff>15240</xdr:rowOff>
    </xdr:to>
    <xdr:sp macro="" textlink="">
      <xdr:nvSpPr>
        <xdr:cNvPr id="2" name="TextBox 1">
          <a:extLst>
            <a:ext uri="{FF2B5EF4-FFF2-40B4-BE49-F238E27FC236}">
              <a16:creationId xmlns:a16="http://schemas.microsoft.com/office/drawing/2014/main" id="{796B3299-9D0F-410A-BC64-F4A37CB48EA7}"/>
            </a:ext>
          </a:extLst>
        </xdr:cNvPr>
        <xdr:cNvSpPr txBox="1"/>
      </xdr:nvSpPr>
      <xdr:spPr>
        <a:xfrm>
          <a:off x="2743200" y="0"/>
          <a:ext cx="338328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Calibri "/>
            </a:rPr>
            <a:t>precedent transactions in the Indian banking sector. When HDFC merged with HDFC Bank, Kotak acquired ING Vysya, or IDFC merged with IDFC First, they were overwhelmingly executed </a:t>
          </a:r>
          <a:r>
            <a:rPr lang="en-IN" b="0">
              <a:latin typeface="Calibri "/>
            </a:rPr>
            <a:t>as Share Swaps </a:t>
          </a:r>
          <a:r>
            <a:rPr lang="en-IN">
              <a:latin typeface="Calibri "/>
            </a:rPr>
            <a:t>(100% Equity). Banks issue new shares to the target's shareholders because it preserves their precious capital ratios and keeps the RBI happy. </a:t>
          </a:r>
          <a:endParaRPr lang="en-IN" sz="1100">
            <a:latin typeface="Calibri "/>
          </a:endParaRPr>
        </a:p>
      </xdr:txBody>
    </xdr:sp>
    <xdr:clientData/>
  </xdr:twoCellAnchor>
  <xdr:twoCellAnchor>
    <xdr:from>
      <xdr:col>2</xdr:col>
      <xdr:colOff>0</xdr:colOff>
      <xdr:row>7</xdr:row>
      <xdr:rowOff>38100</xdr:rowOff>
    </xdr:from>
    <xdr:to>
      <xdr:col>7</xdr:col>
      <xdr:colOff>403860</xdr:colOff>
      <xdr:row>15</xdr:row>
      <xdr:rowOff>53340</xdr:rowOff>
    </xdr:to>
    <xdr:sp macro="" textlink="">
      <xdr:nvSpPr>
        <xdr:cNvPr id="3" name="TextBox 2">
          <a:extLst>
            <a:ext uri="{FF2B5EF4-FFF2-40B4-BE49-F238E27FC236}">
              <a16:creationId xmlns:a16="http://schemas.microsoft.com/office/drawing/2014/main" id="{E5B63E03-5F1F-4C9B-8180-4663E147799F}"/>
            </a:ext>
          </a:extLst>
        </xdr:cNvPr>
        <xdr:cNvSpPr txBox="1"/>
      </xdr:nvSpPr>
      <xdr:spPr>
        <a:xfrm>
          <a:off x="2743200" y="1318260"/>
          <a:ext cx="3375660" cy="1478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Calibri "/>
            </a:rPr>
            <a:t>I structured the ₹37,170.9 Cr acquisition primarily as a share swap (90% equity) to preserve Axis Bank's CET1 capital adequacy ratio and comply with stringent RBI liquidity requirements. The remaining 10% is split equally between cash (5%) to settle fractional shares and payouts for dissenting shareholders, and Tier-II debt (5%) to slightly optimize the cost of capital without over-leveraging the combined balance sheet.</a:t>
          </a:r>
          <a:endParaRPr lang="en-IN" sz="1100">
            <a:latin typeface="Calibri "/>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68580</xdr:colOff>
      <xdr:row>15</xdr:row>
      <xdr:rowOff>144780</xdr:rowOff>
    </xdr:to>
    <xdr:sp macro="" textlink="">
      <xdr:nvSpPr>
        <xdr:cNvPr id="4" name="TextBox 3">
          <a:extLst>
            <a:ext uri="{FF2B5EF4-FFF2-40B4-BE49-F238E27FC236}">
              <a16:creationId xmlns:a16="http://schemas.microsoft.com/office/drawing/2014/main" id="{33C8FB50-978E-494A-BD62-24E64CFB3CA4}"/>
            </a:ext>
          </a:extLst>
        </xdr:cNvPr>
        <xdr:cNvSpPr txBox="1"/>
      </xdr:nvSpPr>
      <xdr:spPr>
        <a:xfrm>
          <a:off x="0" y="320040"/>
          <a:ext cx="5798820" cy="270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1. A deal becomes dilutive when the Cost of Funding the acquisition is higher than the Earnings Yield of the target company.</a:t>
          </a:r>
        </a:p>
        <a:p>
          <a:r>
            <a:rPr lang="en-IN" b="0"/>
            <a:t>Bandhan's Earnings Yield: They generate ₹1,353 Cr in profit on a purchase price of ₹37,170.9 Cr. That is a yield of roughly 3.6%.</a:t>
          </a:r>
        </a:p>
        <a:p>
          <a:r>
            <a:rPr lang="en-IN" b="0"/>
            <a:t>Axis Bank's Cost of Equity (Earnings Yield): Axis generates ₹89.30 of EPS on a share price of ₹1,242.7. That is a yield of roughly 7.2%.</a:t>
          </a:r>
        </a:p>
        <a:p>
          <a:r>
            <a:rPr lang="en-IN" b="0"/>
            <a:t>The Verdict: Because Axis Bank is using its own equity (which "costs" 7.2%) to buy an asset that only yields 3.6%, it destroys short-term EPS value. You are trading high-earning shares for low-earning assets.</a:t>
          </a:r>
        </a:p>
        <a:p>
          <a:r>
            <a:rPr lang="en-IN" b="0"/>
            <a:t>2. The Strategic Reason -</a:t>
          </a:r>
          <a:r>
            <a:rPr lang="en-IN" b="0" baseline="0"/>
            <a:t> </a:t>
          </a:r>
          <a:r>
            <a:rPr lang="en-IN" b="0"/>
            <a:t>Dilution is not always a dealbreaker. In banking, Acquirers will accept short-term EPS dilution (usually up to 5%) if they believe they can unlock Synergies.</a:t>
          </a:r>
        </a:p>
        <a:p>
          <a:r>
            <a:rPr lang="en-IN" b="0"/>
            <a:t>Revenue Synergies: Axis can now cross-sell its premium credit cards and wealth management products to Bandhan's massive rural customer base.</a:t>
          </a:r>
        </a:p>
        <a:p>
          <a:r>
            <a:rPr lang="en-IN" b="0"/>
            <a:t>Cost Synergies: Axis can close duplicate Bandhan Bank branches in cities where they overlap, reducing rent and employee headcount.</a:t>
          </a:r>
        </a:p>
        <a:p>
          <a:endParaRPr lang="en-IN" sz="1100" b="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xdr:row>
      <xdr:rowOff>160560</xdr:rowOff>
    </xdr:from>
    <xdr:to>
      <xdr:col>4</xdr:col>
      <xdr:colOff>160920</xdr:colOff>
      <xdr:row>24</xdr:row>
      <xdr:rowOff>161640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36</xdr:row>
      <xdr:rowOff>41100</xdr:rowOff>
    </xdr:from>
    <xdr:to>
      <xdr:col>5</xdr:col>
      <xdr:colOff>324720</xdr:colOff>
      <xdr:row>53</xdr:row>
      <xdr:rowOff>34560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8CBE-DF48-4D8A-8B2C-30BC86B75B6F}">
  <dimension ref="A1:D39"/>
  <sheetViews>
    <sheetView tabSelected="1" workbookViewId="0">
      <selection activeCell="F6" sqref="F6"/>
    </sheetView>
  </sheetViews>
  <sheetFormatPr defaultColWidth="8.6640625" defaultRowHeight="14.4" x14ac:dyDescent="0.3"/>
  <cols>
    <col min="1" max="1" width="2.44140625" style="27" customWidth="1"/>
    <col min="2" max="2" width="20" style="27" customWidth="1"/>
    <col min="3" max="3" width="97" style="27" customWidth="1"/>
    <col min="4" max="4" width="24.77734375" style="27" hidden="1" customWidth="1"/>
    <col min="5" max="16384" width="8.6640625" style="27"/>
  </cols>
  <sheetData>
    <row r="1" spans="1:4" ht="9.75" customHeight="1" x14ac:dyDescent="0.3">
      <c r="A1" s="29"/>
      <c r="B1" s="29"/>
      <c r="C1" s="29"/>
      <c r="D1" s="29"/>
    </row>
    <row r="2" spans="1:4" ht="33.75" customHeight="1" x14ac:dyDescent="0.3">
      <c r="A2" s="29"/>
      <c r="B2" s="30" t="s">
        <v>57</v>
      </c>
      <c r="C2" s="30"/>
      <c r="D2" s="29"/>
    </row>
    <row r="3" spans="1:4" ht="9.75" customHeight="1" x14ac:dyDescent="0.3">
      <c r="A3" s="29"/>
      <c r="B3" s="29"/>
      <c r="C3" s="29"/>
      <c r="D3" s="29"/>
    </row>
    <row r="4" spans="1:4" ht="9.75" customHeight="1" x14ac:dyDescent="0.3"/>
    <row r="5" spans="1:4" ht="24" customHeight="1" x14ac:dyDescent="0.3">
      <c r="B5" s="31" t="s">
        <v>56</v>
      </c>
      <c r="C5" s="31"/>
    </row>
    <row r="6" spans="1:4" ht="24" customHeight="1" x14ac:dyDescent="0.3">
      <c r="B6" s="31"/>
      <c r="C6" s="31"/>
    </row>
    <row r="7" spans="1:4" ht="7.5" customHeight="1" x14ac:dyDescent="0.3"/>
    <row r="8" spans="1:4" ht="3" customHeight="1" x14ac:dyDescent="0.3">
      <c r="B8" s="32" t="s">
        <v>58</v>
      </c>
      <c r="C8" s="32"/>
    </row>
    <row r="9" spans="1:4" ht="12" customHeight="1" x14ac:dyDescent="0.3"/>
    <row r="10" spans="1:4" ht="19.5" customHeight="1" x14ac:dyDescent="0.3">
      <c r="B10" s="33" t="s">
        <v>59</v>
      </c>
      <c r="C10" s="34" t="s">
        <v>60</v>
      </c>
    </row>
    <row r="11" spans="1:4" ht="19.5" customHeight="1" x14ac:dyDescent="0.3">
      <c r="B11" s="33" t="s">
        <v>61</v>
      </c>
      <c r="C11" s="34" t="s">
        <v>62</v>
      </c>
    </row>
    <row r="12" spans="1:4" ht="19.5" customHeight="1" x14ac:dyDescent="0.3">
      <c r="B12" s="33" t="s">
        <v>63</v>
      </c>
      <c r="C12" s="34" t="s">
        <v>64</v>
      </c>
    </row>
    <row r="13" spans="1:4" ht="19.5" customHeight="1" x14ac:dyDescent="0.3">
      <c r="B13" s="33" t="s">
        <v>65</v>
      </c>
      <c r="C13" s="34" t="s">
        <v>66</v>
      </c>
    </row>
    <row r="14" spans="1:4" ht="19.5" customHeight="1" x14ac:dyDescent="0.3">
      <c r="B14" s="33" t="s">
        <v>67</v>
      </c>
      <c r="C14" s="34" t="s">
        <v>68</v>
      </c>
    </row>
    <row r="16" spans="1:4" ht="21.75" customHeight="1" x14ac:dyDescent="0.3">
      <c r="B16" s="23" t="s">
        <v>69</v>
      </c>
      <c r="C16" s="23"/>
    </row>
    <row r="17" spans="2:3" ht="15.75" customHeight="1" x14ac:dyDescent="0.3">
      <c r="B17" s="36" t="s">
        <v>70</v>
      </c>
      <c r="C17" s="36"/>
    </row>
    <row r="18" spans="2:3" ht="15.75" customHeight="1" x14ac:dyDescent="0.3">
      <c r="B18" s="36"/>
      <c r="C18" s="36"/>
    </row>
    <row r="19" spans="2:3" ht="15.75" customHeight="1" x14ac:dyDescent="0.3">
      <c r="B19" s="36"/>
      <c r="C19" s="36"/>
    </row>
    <row r="20" spans="2:3" ht="4.2" customHeight="1" x14ac:dyDescent="0.3">
      <c r="B20" s="36"/>
      <c r="C20" s="36"/>
    </row>
    <row r="21" spans="2:3" ht="15.6" hidden="1" customHeight="1" x14ac:dyDescent="0.3">
      <c r="B21" s="36"/>
      <c r="C21" s="36"/>
    </row>
    <row r="23" spans="2:3" ht="21.75" customHeight="1" x14ac:dyDescent="0.3">
      <c r="B23" s="23" t="s">
        <v>71</v>
      </c>
      <c r="C23" s="23"/>
    </row>
    <row r="24" spans="2:3" ht="18" customHeight="1" x14ac:dyDescent="0.3">
      <c r="B24" s="24" t="s">
        <v>72</v>
      </c>
      <c r="C24" s="24" t="s">
        <v>73</v>
      </c>
    </row>
    <row r="25" spans="2:3" ht="27.75" customHeight="1" x14ac:dyDescent="0.3">
      <c r="B25" s="25" t="s">
        <v>74</v>
      </c>
      <c r="C25" s="26" t="s">
        <v>75</v>
      </c>
    </row>
    <row r="26" spans="2:3" ht="27.75" customHeight="1" x14ac:dyDescent="0.3">
      <c r="B26" s="25" t="s">
        <v>76</v>
      </c>
      <c r="C26" s="26" t="s">
        <v>77</v>
      </c>
    </row>
    <row r="27" spans="2:3" ht="27.75" customHeight="1" x14ac:dyDescent="0.3">
      <c r="B27" s="25" t="s">
        <v>78</v>
      </c>
      <c r="C27" s="26" t="s">
        <v>79</v>
      </c>
    </row>
    <row r="28" spans="2:3" ht="27.75" customHeight="1" x14ac:dyDescent="0.3">
      <c r="B28" s="25" t="s">
        <v>39</v>
      </c>
      <c r="C28" s="26" t="s">
        <v>84</v>
      </c>
    </row>
    <row r="29" spans="2:3" ht="27.75" customHeight="1" x14ac:dyDescent="0.3">
      <c r="B29" s="25" t="s">
        <v>80</v>
      </c>
      <c r="C29" s="26" t="s">
        <v>81</v>
      </c>
    </row>
    <row r="31" spans="2:3" ht="21.75" customHeight="1" x14ac:dyDescent="0.3">
      <c r="B31" s="28" t="s">
        <v>82</v>
      </c>
      <c r="C31" s="28"/>
    </row>
    <row r="32" spans="2:3" ht="15" customHeight="1" x14ac:dyDescent="0.3">
      <c r="B32" s="35" t="s">
        <v>83</v>
      </c>
      <c r="C32" s="35"/>
    </row>
    <row r="33" spans="2:3" ht="15" customHeight="1" x14ac:dyDescent="0.3">
      <c r="B33" s="35"/>
      <c r="C33" s="35"/>
    </row>
    <row r="34" spans="2:3" ht="15" customHeight="1" x14ac:dyDescent="0.3">
      <c r="B34" s="35"/>
      <c r="C34" s="35"/>
    </row>
    <row r="35" spans="2:3" ht="15" customHeight="1" x14ac:dyDescent="0.3">
      <c r="B35" s="35"/>
      <c r="C35" s="35"/>
    </row>
    <row r="36" spans="2:3" ht="6.6" customHeight="1" x14ac:dyDescent="0.3">
      <c r="B36" s="35"/>
      <c r="C36" s="35"/>
    </row>
    <row r="37" spans="2:3" ht="15" hidden="1" customHeight="1" x14ac:dyDescent="0.3">
      <c r="B37" s="35"/>
      <c r="C37" s="35"/>
    </row>
    <row r="38" spans="2:3" ht="15" hidden="1" customHeight="1" x14ac:dyDescent="0.3">
      <c r="B38" s="35"/>
      <c r="C38" s="35"/>
    </row>
    <row r="39" spans="2:3" ht="21" customHeight="1" x14ac:dyDescent="0.3">
      <c r="B39" s="35"/>
      <c r="C39" s="35"/>
    </row>
  </sheetData>
  <mergeCells count="8">
    <mergeCell ref="B17:C21"/>
    <mergeCell ref="B23:C23"/>
    <mergeCell ref="B31:C31"/>
    <mergeCell ref="B32:C39"/>
    <mergeCell ref="B2:C2"/>
    <mergeCell ref="B5:C6"/>
    <mergeCell ref="B8:C8"/>
    <mergeCell ref="B16: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zoomScaleNormal="100" workbookViewId="0">
      <selection activeCell="E19" sqref="E19"/>
    </sheetView>
  </sheetViews>
  <sheetFormatPr defaultColWidth="8.6640625" defaultRowHeight="14.4" x14ac:dyDescent="0.3"/>
  <cols>
    <col min="1" max="1" width="38.5546875" customWidth="1"/>
    <col min="2" max="2" width="18.109375" customWidth="1"/>
    <col min="3" max="3" width="20.5546875" customWidth="1"/>
  </cols>
  <sheetData>
    <row r="1" spans="1:3" x14ac:dyDescent="0.3">
      <c r="B1" s="1" t="s">
        <v>0</v>
      </c>
      <c r="C1" s="1" t="s">
        <v>1</v>
      </c>
    </row>
    <row r="2" spans="1:3" x14ac:dyDescent="0.3">
      <c r="A2" t="s">
        <v>2</v>
      </c>
      <c r="B2" s="2">
        <v>1242.7</v>
      </c>
      <c r="C2" s="2">
        <v>184.7</v>
      </c>
    </row>
    <row r="3" spans="1:3" x14ac:dyDescent="0.3">
      <c r="A3" t="s">
        <v>3</v>
      </c>
      <c r="B3" s="3">
        <v>311</v>
      </c>
      <c r="C3" s="3">
        <v>161</v>
      </c>
    </row>
    <row r="4" spans="1:3" x14ac:dyDescent="0.3">
      <c r="A4" t="s">
        <v>4</v>
      </c>
      <c r="B4" s="4">
        <v>27773</v>
      </c>
      <c r="C4" s="4">
        <v>1353</v>
      </c>
    </row>
    <row r="6" spans="1:3" x14ac:dyDescent="0.3">
      <c r="A6" s="1" t="s">
        <v>5</v>
      </c>
    </row>
    <row r="7" spans="1:3" x14ac:dyDescent="0.3">
      <c r="A7" t="s">
        <v>6</v>
      </c>
      <c r="C7" s="5">
        <v>0.25</v>
      </c>
    </row>
    <row r="8" spans="1:3" x14ac:dyDescent="0.3">
      <c r="A8" t="s">
        <v>7</v>
      </c>
      <c r="C8" s="6">
        <f>(C2*(1+C7))</f>
        <v>230.875</v>
      </c>
    </row>
    <row r="9" spans="1:3" x14ac:dyDescent="0.3">
      <c r="A9" t="s">
        <v>8</v>
      </c>
      <c r="C9" s="6">
        <f>C8*C3</f>
        <v>37170.875</v>
      </c>
    </row>
    <row r="11" spans="1:3" x14ac:dyDescent="0.3">
      <c r="A11" s="1" t="s">
        <v>9</v>
      </c>
    </row>
    <row r="12" spans="1:3" x14ac:dyDescent="0.3">
      <c r="A12" t="s">
        <v>10</v>
      </c>
      <c r="B12" s="5">
        <v>0.05</v>
      </c>
      <c r="C12" s="6">
        <f>$C$9*B12</f>
        <v>1858.54375</v>
      </c>
    </row>
    <row r="13" spans="1:3" x14ac:dyDescent="0.3">
      <c r="A13" t="s">
        <v>11</v>
      </c>
      <c r="B13" s="5">
        <v>0.05</v>
      </c>
      <c r="C13" s="6">
        <f>$C$9*B13</f>
        <v>1858.54375</v>
      </c>
    </row>
    <row r="14" spans="1:3" x14ac:dyDescent="0.3">
      <c r="A14" t="s">
        <v>12</v>
      </c>
      <c r="B14" s="5">
        <v>0.9</v>
      </c>
      <c r="C14" s="6">
        <f>$C$9*B14</f>
        <v>33453.787499999999</v>
      </c>
    </row>
    <row r="15" spans="1:3" x14ac:dyDescent="0.3">
      <c r="A15" t="s">
        <v>13</v>
      </c>
      <c r="B15" s="5">
        <v>0.05</v>
      </c>
    </row>
    <row r="16" spans="1:3" x14ac:dyDescent="0.3">
      <c r="A16" t="s">
        <v>14</v>
      </c>
      <c r="B16" s="7">
        <v>7.8E-2</v>
      </c>
    </row>
    <row r="17" spans="1:3" x14ac:dyDescent="0.3">
      <c r="A17" t="s">
        <v>15</v>
      </c>
      <c r="B17" s="7">
        <v>0.252</v>
      </c>
    </row>
    <row r="19" spans="1:3" x14ac:dyDescent="0.3">
      <c r="A19" t="s">
        <v>16</v>
      </c>
      <c r="C19" s="6">
        <f>C14/$B$2</f>
        <v>26.920244226281483</v>
      </c>
    </row>
    <row r="21" spans="1:3" x14ac:dyDescent="0.3">
      <c r="A21" s="1" t="s">
        <v>17</v>
      </c>
    </row>
    <row r="22" spans="1:3" x14ac:dyDescent="0.3">
      <c r="A22" t="s">
        <v>18</v>
      </c>
      <c r="C22" s="8">
        <f>B4</f>
        <v>27773</v>
      </c>
    </row>
    <row r="23" spans="1:3" x14ac:dyDescent="0.3">
      <c r="A23" t="s">
        <v>19</v>
      </c>
      <c r="C23" s="8">
        <f>C4</f>
        <v>1353</v>
      </c>
    </row>
    <row r="24" spans="1:3" x14ac:dyDescent="0.3">
      <c r="A24" t="s">
        <v>20</v>
      </c>
      <c r="C24" s="6">
        <f>(C12*B15)*(1-$B$17)</f>
        <v>69.509536249999996</v>
      </c>
    </row>
    <row r="25" spans="1:3" x14ac:dyDescent="0.3">
      <c r="A25" t="s">
        <v>21</v>
      </c>
      <c r="C25" s="6">
        <f>(C13*B16)*(1-$B$17)</f>
        <v>108.43487655</v>
      </c>
    </row>
    <row r="26" spans="1:3" x14ac:dyDescent="0.3">
      <c r="A26" t="s">
        <v>22</v>
      </c>
      <c r="C26" s="8">
        <f>C22+C23-C24-C25</f>
        <v>28948.0555872</v>
      </c>
    </row>
    <row r="28" spans="1:3" x14ac:dyDescent="0.3">
      <c r="A28" s="1" t="s">
        <v>23</v>
      </c>
    </row>
    <row r="29" spans="1:3" x14ac:dyDescent="0.3">
      <c r="A29" t="s">
        <v>24</v>
      </c>
      <c r="C29" s="6">
        <f>B4/B3</f>
        <v>89.302250803858527</v>
      </c>
    </row>
    <row r="30" spans="1:3" x14ac:dyDescent="0.3">
      <c r="A30" t="s">
        <v>25</v>
      </c>
      <c r="C30" s="6">
        <f>B3+C19</f>
        <v>337.92024422628151</v>
      </c>
    </row>
    <row r="31" spans="1:3" x14ac:dyDescent="0.3">
      <c r="A31" t="s">
        <v>26</v>
      </c>
      <c r="C31" s="6">
        <f>C26/C30</f>
        <v>85.665348796964992</v>
      </c>
    </row>
    <row r="32" spans="1:3" x14ac:dyDescent="0.3">
      <c r="A32" t="s">
        <v>27</v>
      </c>
      <c r="C32" s="6">
        <f>C31-C29</f>
        <v>-3.6369020068935356</v>
      </c>
    </row>
    <row r="33" spans="1:3" x14ac:dyDescent="0.3">
      <c r="A33" t="s">
        <v>28</v>
      </c>
      <c r="C33" s="9">
        <f>C32/C29</f>
        <v>-4.0725759699848395E-2</v>
      </c>
    </row>
  </sheetData>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zoomScaleNormal="100" workbookViewId="0">
      <selection activeCell="A8" sqref="A8"/>
    </sheetView>
  </sheetViews>
  <sheetFormatPr defaultColWidth="8.6640625" defaultRowHeight="14.4" x14ac:dyDescent="0.3"/>
  <cols>
    <col min="1" max="1" width="28.33203125" customWidth="1"/>
    <col min="2" max="2" width="11.6640625" customWidth="1"/>
  </cols>
  <sheetData>
    <row r="1" spans="1:2" x14ac:dyDescent="0.3">
      <c r="A1" t="s">
        <v>29</v>
      </c>
    </row>
    <row r="2" spans="1:2" x14ac:dyDescent="0.3">
      <c r="A2" t="s">
        <v>30</v>
      </c>
      <c r="B2" s="4">
        <v>78627</v>
      </c>
    </row>
    <row r="3" spans="1:2" x14ac:dyDescent="0.3">
      <c r="A3" t="s">
        <v>8</v>
      </c>
      <c r="B3" s="10">
        <f>'M&amp;A Model'!C8*'M&amp;A Model'!C3</f>
        <v>37170.875</v>
      </c>
    </row>
    <row r="4" spans="1:2" x14ac:dyDescent="0.3">
      <c r="A4" t="s">
        <v>31</v>
      </c>
      <c r="B4" s="8">
        <f>B2-B3</f>
        <v>41456.125</v>
      </c>
    </row>
    <row r="6" spans="1:2" x14ac:dyDescent="0.3">
      <c r="A6" t="s">
        <v>32</v>
      </c>
      <c r="B6" s="7">
        <v>7.8E-2</v>
      </c>
    </row>
    <row r="8" spans="1:2" x14ac:dyDescent="0.3">
      <c r="A8" t="s">
        <v>33</v>
      </c>
    </row>
    <row r="9" spans="1:2" x14ac:dyDescent="0.3">
      <c r="A9" t="s">
        <v>34</v>
      </c>
      <c r="B9" s="5">
        <v>0.05</v>
      </c>
    </row>
    <row r="10" spans="1:2" x14ac:dyDescent="0.3">
      <c r="A10" t="s">
        <v>35</v>
      </c>
      <c r="B10" s="7">
        <v>3.3500000000000002E-2</v>
      </c>
    </row>
    <row r="13" spans="1:2" x14ac:dyDescent="0.3">
      <c r="A13" t="s">
        <v>36</v>
      </c>
      <c r="B13" s="5">
        <v>0.9</v>
      </c>
    </row>
    <row r="14" spans="1:2" x14ac:dyDescent="0.3">
      <c r="A14" t="s">
        <v>37</v>
      </c>
      <c r="B14" s="5">
        <v>0.05</v>
      </c>
    </row>
    <row r="15" spans="1:2" x14ac:dyDescent="0.3">
      <c r="A15" t="s">
        <v>38</v>
      </c>
      <c r="B15" s="5">
        <v>0.05</v>
      </c>
    </row>
  </sheetData>
  <pageMargins left="0.7" right="0.7" top="0.75" bottom="0.75" header="0.511811023622047" footer="0.511811023622047"/>
  <pageSetup paperSize="9"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election activeCell="F20" sqref="F20"/>
    </sheetView>
  </sheetViews>
  <sheetFormatPr defaultColWidth="8.6640625" defaultRowHeight="14.4" x14ac:dyDescent="0.3"/>
  <cols>
    <col min="1" max="1" width="14.21875" customWidth="1"/>
  </cols>
  <sheetData>
    <row r="1" spans="1:1" ht="25.5" customHeight="1" x14ac:dyDescent="0.5">
      <c r="A1" s="11" t="s">
        <v>39</v>
      </c>
    </row>
  </sheetData>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7"/>
  <sheetViews>
    <sheetView zoomScaleNormal="100" workbookViewId="0">
      <selection activeCell="G6" sqref="G6"/>
    </sheetView>
  </sheetViews>
  <sheetFormatPr defaultColWidth="8.6640625" defaultRowHeight="14.4" x14ac:dyDescent="0.3"/>
  <cols>
    <col min="1" max="1" width="24" customWidth="1"/>
    <col min="2" max="3" width="12" customWidth="1"/>
    <col min="4" max="4" width="11" customWidth="1"/>
    <col min="5" max="5" width="13" customWidth="1"/>
  </cols>
  <sheetData>
    <row r="1" spans="1:6" ht="17.399999999999999" x14ac:dyDescent="0.3">
      <c r="A1" s="14" t="s">
        <v>40</v>
      </c>
      <c r="B1" s="14"/>
      <c r="C1" s="14"/>
    </row>
    <row r="3" spans="1:6" x14ac:dyDescent="0.3">
      <c r="A3" s="12" t="s">
        <v>41</v>
      </c>
      <c r="B3" s="12" t="s">
        <v>42</v>
      </c>
      <c r="C3" s="12" t="s">
        <v>43</v>
      </c>
    </row>
    <row r="4" spans="1:6" x14ac:dyDescent="0.3">
      <c r="A4" s="15" t="s">
        <v>44</v>
      </c>
      <c r="B4" s="16">
        <f>Visuals!$F$4</f>
        <v>0.9</v>
      </c>
      <c r="C4" s="17">
        <f>'M&amp;A Model'!C14</f>
        <v>33453.787499999999</v>
      </c>
      <c r="F4" s="13">
        <f>'M&amp;A Model'!B14</f>
        <v>0.9</v>
      </c>
    </row>
    <row r="5" spans="1:6" x14ac:dyDescent="0.3">
      <c r="A5" s="15" t="s">
        <v>45</v>
      </c>
      <c r="B5" s="16">
        <f>Visuals!$F$5</f>
        <v>0.05</v>
      </c>
      <c r="C5" s="17">
        <f>'M&amp;A Model'!C13</f>
        <v>1858.54375</v>
      </c>
      <c r="F5" s="13">
        <f>'M&amp;A Model'!B13</f>
        <v>0.05</v>
      </c>
    </row>
    <row r="6" spans="1:6" x14ac:dyDescent="0.3">
      <c r="A6" s="15" t="s">
        <v>38</v>
      </c>
      <c r="B6" s="16">
        <f>Visuals!$F$6</f>
        <v>0.05</v>
      </c>
      <c r="C6" s="17">
        <f>'M&amp;A Model'!C12</f>
        <v>1858.54375</v>
      </c>
      <c r="F6" s="13">
        <f>'M&amp;A Model'!B12</f>
        <v>0.05</v>
      </c>
    </row>
    <row r="26" spans="1:5" ht="18" x14ac:dyDescent="0.35">
      <c r="A26" s="18" t="s">
        <v>46</v>
      </c>
      <c r="B26" s="18"/>
      <c r="C26" s="18"/>
      <c r="D26" s="18"/>
      <c r="E26" s="18"/>
    </row>
    <row r="28" spans="1:5" ht="28.8" x14ac:dyDescent="0.3">
      <c r="A28" s="19" t="s">
        <v>47</v>
      </c>
      <c r="B28" s="19" t="s">
        <v>48</v>
      </c>
      <c r="C28" s="19" t="s">
        <v>49</v>
      </c>
      <c r="D28" s="19" t="s">
        <v>50</v>
      </c>
      <c r="E28" s="19" t="s">
        <v>51</v>
      </c>
    </row>
    <row r="29" spans="1:5" x14ac:dyDescent="0.3">
      <c r="A29" s="20" t="s">
        <v>52</v>
      </c>
      <c r="B29" s="21">
        <v>0</v>
      </c>
      <c r="C29" s="21">
        <f>'M&amp;A Model'!C29</f>
        <v>89.302250803858527</v>
      </c>
      <c r="D29" s="21">
        <v>0</v>
      </c>
      <c r="E29" s="21">
        <f>'M&amp;A Model'!C29</f>
        <v>89.302250803858527</v>
      </c>
    </row>
    <row r="30" spans="1:5" x14ac:dyDescent="0.3">
      <c r="A30" s="15" t="s">
        <v>53</v>
      </c>
      <c r="B30" s="21">
        <f>E29-D30</f>
        <v>87.881585957415737</v>
      </c>
      <c r="C30" s="21">
        <v>0</v>
      </c>
      <c r="D30" s="21">
        <f>('M&amp;A Model'!C24/('M&amp;A Model'!C24+'M&amp;A Model'!C25))*('M&amp;A Model'!C29-'M&amp;A Model'!C31)</f>
        <v>1.4206648464427871</v>
      </c>
      <c r="E30" s="21">
        <f>E29-D30</f>
        <v>87.881585957415737</v>
      </c>
    </row>
    <row r="31" spans="1:5" x14ac:dyDescent="0.3">
      <c r="A31" s="15" t="s">
        <v>54</v>
      </c>
      <c r="B31" s="21">
        <f>E30-D31</f>
        <v>85.665348796964992</v>
      </c>
      <c r="C31" s="21">
        <v>0</v>
      </c>
      <c r="D31" s="21">
        <f>('M&amp;A Model'!C25/('M&amp;A Model'!C24+'M&amp;A Model'!C25))*('M&amp;A Model'!C29-'M&amp;A Model'!C31)</f>
        <v>2.2162371604507483</v>
      </c>
      <c r="E31" s="21">
        <f>E30-D31</f>
        <v>85.665348796964992</v>
      </c>
    </row>
    <row r="32" spans="1:5" x14ac:dyDescent="0.3">
      <c r="A32" s="20" t="s">
        <v>26</v>
      </c>
      <c r="B32" s="21">
        <v>0</v>
      </c>
      <c r="C32" s="21">
        <f>'M&amp;A Model'!C31</f>
        <v>85.665348796964992</v>
      </c>
      <c r="D32" s="21">
        <v>0</v>
      </c>
      <c r="E32" s="21">
        <f>'M&amp;A Model'!C31</f>
        <v>85.665348796964992</v>
      </c>
    </row>
    <row r="33" spans="1:5" ht="15" thickBot="1" x14ac:dyDescent="0.35"/>
    <row r="34" spans="1:5" ht="15" customHeight="1" thickTop="1" thickBot="1" x14ac:dyDescent="0.35">
      <c r="A34" s="22" t="s">
        <v>55</v>
      </c>
      <c r="B34" s="22"/>
      <c r="C34" s="22"/>
      <c r="D34" s="22"/>
      <c r="E34" s="22"/>
    </row>
    <row r="35" spans="1:5" ht="15.6" thickTop="1" thickBot="1" x14ac:dyDescent="0.35">
      <c r="A35" s="22"/>
      <c r="B35" s="22"/>
      <c r="C35" s="22"/>
      <c r="D35" s="22"/>
      <c r="E35" s="22"/>
    </row>
    <row r="36" spans="1:5" ht="15.6" thickTop="1" thickBot="1" x14ac:dyDescent="0.35">
      <c r="A36" s="22"/>
      <c r="B36" s="22"/>
      <c r="C36" s="22"/>
      <c r="D36" s="22"/>
      <c r="E36" s="22"/>
    </row>
    <row r="37" spans="1:5" ht="15" thickTop="1" x14ac:dyDescent="0.3"/>
  </sheetData>
  <mergeCells count="3">
    <mergeCell ref="A1:C1"/>
    <mergeCell ref="A26:E26"/>
    <mergeCell ref="A34:E3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M&amp;A Model</vt:lpstr>
      <vt:lpstr>Funding the deal</vt:lpstr>
      <vt:lpstr>Findings</vt:lpstr>
      <vt:lpstr>Visuals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BHAVOOK</dc:creator>
  <dc:description/>
  <cp:lastModifiedBy>BHAVOOK</cp:lastModifiedBy>
  <cp:revision>1</cp:revision>
  <dcterms:created xsi:type="dcterms:W3CDTF">2026-09-22T18:57:01Z</dcterms:created>
  <dcterms:modified xsi:type="dcterms:W3CDTF">2026-09-23T10:34:18Z</dcterms:modified>
  <dc:language>en-US</dc:language>
</cp:coreProperties>
</file>